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ritical" sheetId="1" state="visible" r:id="rId3"/>
    <sheet name="reduc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<sst xmlns="http://schemas.openxmlformats.org/spreadsheetml/2006/main" count="28" uniqueCount="11">
  <si>
    <t xml:space="preserve">Versão critical – somatório de vetor (média de 10 execuções)</t>
  </si>
  <si>
    <t xml:space="preserve">Escalabilidade forte (N fixo = 2^30)</t>
  </si>
  <si>
    <t xml:space="preserve">Threads</t>
  </si>
  <si>
    <t xml:space="preserve">N (elementos)</t>
  </si>
  <si>
    <t xml:space="preserve">Tempo médio (s)</t>
  </si>
  <si>
    <t xml:space="preserve">Speedup = T(1)/T(p)</t>
  </si>
  <si>
    <t xml:space="preserve">Eficiência = S/p</t>
  </si>
  <si>
    <t xml:space="preserve">Escalabilidade fraca (N = p × 2^27)</t>
  </si>
  <si>
    <t xml:space="preserve">Speedup escalado = p·T(1)/T(p)</t>
  </si>
  <si>
    <t xml:space="preserve">Tempos em azul: valores medidos (média de 10 execuções, saída do programa). Demais células: fórmulas.</t>
  </si>
  <si>
    <t xml:space="preserve">Versão reduction – somatório de vetor (média de 10 execuções)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</si>
</sst>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0000"/>
    <numFmt numFmtId="167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Speedup – escalabilidade forte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critical!D4</c:f>
              <c:strCache>
                <c:ptCount val="1"/>
                <c:pt idx="0">
                  <c:v>Speedup = T(1)/T(p)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critical!$A$5:$A$10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critical!$D$5:$D$10</c:f>
              <c:numCache>
                <c:formatCode>0.00</c:formatCode>
                <c:ptCount val="6"/>
                <c:pt idx="0">
                  <c:v>1</c:v>
                </c:pt>
                <c:pt idx="1">
                  <c:v>1.97601161692617</c:v>
                </c:pt>
                <c:pt idx="2">
                  <c:v>2.93915566127632</c:v>
                </c:pt>
                <c:pt idx="3">
                  <c:v>3.83491586925889</c:v>
                </c:pt>
                <c:pt idx="4">
                  <c:v>4.01607785268559</c:v>
                </c:pt>
                <c:pt idx="5">
                  <c:v>4.33257031079295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0007416"/>
        <c:axId val="70500325"/>
      </c:lineChart>
      <c:catAx>
        <c:axId val="200074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Threads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500325"/>
        <c:crosses val="autoZero"/>
        <c:auto val="1"/>
        <c:lblAlgn val="ctr"/>
        <c:lblOffset val="100"/>
        <c:noMultiLvlLbl val="0"/>
      </c:catAx>
      <c:valAx>
        <c:axId val="705003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Speedup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0074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Speedup – escalabilidade fraca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critical!D14</c:f>
              <c:strCache>
                <c:ptCount val="1"/>
                <c:pt idx="0">
                  <c:v>Speedup escalado = p·T(1)/T(p)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critical!$A$15:$A$20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critical!$D$15:$D$20</c:f>
              <c:numCache>
                <c:formatCode>0.00</c:formatCode>
                <c:ptCount val="6"/>
                <c:pt idx="0">
                  <c:v>1</c:v>
                </c:pt>
                <c:pt idx="1">
                  <c:v>2.04309632278031</c:v>
                </c:pt>
                <c:pt idx="2">
                  <c:v>2.96496317786208</c:v>
                </c:pt>
                <c:pt idx="3">
                  <c:v>3.47079856972586</c:v>
                </c:pt>
                <c:pt idx="4">
                  <c:v>4.52220085433721</c:v>
                </c:pt>
                <c:pt idx="5">
                  <c:v>4.29776393999434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45746086"/>
        <c:axId val="4209967"/>
      </c:lineChart>
      <c:catAx>
        <c:axId val="457460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Threads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09967"/>
        <c:crosses val="autoZero"/>
        <c:auto val="1"/>
        <c:lblAlgn val="ctr"/>
        <c:lblOffset val="100"/>
        <c:noMultiLvlLbl val="0"/>
      </c:catAx>
      <c:valAx>
        <c:axId val="42099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Speedup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460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Speedup – escalabilidade forte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reduction!D4</c:f>
              <c:strCache>
                <c:ptCount val="1"/>
                <c:pt idx="0">
                  <c:v>Speedup = T(1)/T(p)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reduction!$A$5:$A$10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reduction!$D$5:$D$10</c:f>
              <c:numCache>
                <c:formatCode>0.00</c:formatCode>
                <c:ptCount val="6"/>
                <c:pt idx="0">
                  <c:v>1</c:v>
                </c:pt>
                <c:pt idx="1">
                  <c:v>1.95545418204905</c:v>
                </c:pt>
                <c:pt idx="2">
                  <c:v>2.92805182916095</c:v>
                </c:pt>
                <c:pt idx="3">
                  <c:v>3.85358529736142</c:v>
                </c:pt>
                <c:pt idx="4">
                  <c:v>4.61004057919596</c:v>
                </c:pt>
                <c:pt idx="5">
                  <c:v>4.44603885758279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9144374"/>
        <c:axId val="63791442"/>
      </c:lineChart>
      <c:catAx>
        <c:axId val="291443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Threads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791442"/>
        <c:crosses val="autoZero"/>
        <c:auto val="1"/>
        <c:lblAlgn val="ctr"/>
        <c:lblOffset val="100"/>
        <c:noMultiLvlLbl val="0"/>
      </c:catAx>
      <c:valAx>
        <c:axId val="637914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Speedup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1443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Speedup – escalabilidade fraca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reduction!D14</c:f>
              <c:strCache>
                <c:ptCount val="1"/>
                <c:pt idx="0">
                  <c:v>Speedup escalado = p·T(1)/T(p)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reduction!$A$15:$A$20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reduction!$D$15:$D$20</c:f>
              <c:numCache>
                <c:formatCode>0.00</c:formatCode>
                <c:ptCount val="6"/>
                <c:pt idx="0">
                  <c:v>1</c:v>
                </c:pt>
                <c:pt idx="1">
                  <c:v>1.96480628351333</c:v>
                </c:pt>
                <c:pt idx="2">
                  <c:v>2.9352388115833</c:v>
                </c:pt>
                <c:pt idx="3">
                  <c:v>3.88218835686706</c:v>
                </c:pt>
                <c:pt idx="4">
                  <c:v>4.52585981942487</c:v>
                </c:pt>
                <c:pt idx="5">
                  <c:v>4.41111142509961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8671128"/>
        <c:axId val="23664809"/>
      </c:lineChart>
      <c:catAx>
        <c:axId val="86711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Threads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664809"/>
        <c:crosses val="autoZero"/>
        <c:auto val="1"/>
        <c:lblAlgn val="ctr"/>
        <c:lblOffset val="100"/>
        <c:noMultiLvlLbl val="0"/>
      </c:catAx>
      <c:valAx>
        <c:axId val="236648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Speedup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711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14</xdr:col>
      <xdr:colOff>147240</xdr:colOff>
      <xdr:row>16</xdr:row>
      <xdr:rowOff>32040</xdr:rowOff>
    </xdr:to>
    <xdr:graphicFrame>
      <xdr:nvGraphicFramePr>
        <xdr:cNvPr id="0" name="Chart 1"/>
        <xdr:cNvGraphicFramePr/>
      </xdr:nvGraphicFramePr>
      <xdr:xfrm>
        <a:off x="7735680" y="380880"/>
        <a:ext cx="570456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0</xdr:rowOff>
    </xdr:from>
    <xdr:to>
      <xdr:col>14</xdr:col>
      <xdr:colOff>147240</xdr:colOff>
      <xdr:row>32</xdr:row>
      <xdr:rowOff>32400</xdr:rowOff>
    </xdr:to>
    <xdr:graphicFrame>
      <xdr:nvGraphicFramePr>
        <xdr:cNvPr id="1" name="Chart 2"/>
        <xdr:cNvGraphicFramePr/>
      </xdr:nvGraphicFramePr>
      <xdr:xfrm>
        <a:off x="7735680" y="3429000"/>
        <a:ext cx="570456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14</xdr:col>
      <xdr:colOff>147240</xdr:colOff>
      <xdr:row>16</xdr:row>
      <xdr:rowOff>32040</xdr:rowOff>
    </xdr:to>
    <xdr:graphicFrame>
      <xdr:nvGraphicFramePr>
        <xdr:cNvPr id="2" name="Chart 1"/>
        <xdr:cNvGraphicFramePr/>
      </xdr:nvGraphicFramePr>
      <xdr:xfrm>
        <a:off x="7735680" y="380880"/>
        <a:ext cx="570456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0</xdr:rowOff>
    </xdr:from>
    <xdr:to>
      <xdr:col>14</xdr:col>
      <xdr:colOff>147240</xdr:colOff>
      <xdr:row>32</xdr:row>
      <xdr:rowOff>32400</xdr:rowOff>
    </xdr:to>
    <xdr:graphicFrame>
      <xdr:nvGraphicFramePr>
        <xdr:cNvPr id="3" name="Chart 2"/>
        <xdr:cNvGraphicFramePr/>
      </xdr:nvGraphicFramePr>
      <xdr:xfrm>
        <a:off x="7735680" y="3429000"/>
        <a:ext cx="570456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8"/>
    <col collapsed="false" customWidth="true" hidden="false" outlineLevel="0" max="4" min="4" style="1" width="26"/>
    <col collapsed="false" customWidth="true" hidden="false" outlineLevel="0" max="5" min="5" style="1" width="16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n">
        <v>1</v>
      </c>
      <c r="B5" s="6" t="n">
        <v>1073741824</v>
      </c>
      <c r="C5" s="7" t="n">
        <v>0.416399</v>
      </c>
      <c r="D5" s="8" t="n">
        <f aca="false">$C$5/C5</f>
        <v>1</v>
      </c>
      <c r="E5" s="8" t="n">
        <f aca="false">D5/A5</f>
        <v>1</v>
      </c>
    </row>
    <row r="6" customFormat="false" ht="15" hidden="false" customHeight="false" outlineLevel="0" collapsed="false">
      <c r="A6" s="5" t="n">
        <v>2</v>
      </c>
      <c r="B6" s="6" t="n">
        <v>1073741824</v>
      </c>
      <c r="C6" s="7" t="n">
        <v>0.210727</v>
      </c>
      <c r="D6" s="8" t="n">
        <f aca="false">$C$5/C6</f>
        <v>1.97601161692617</v>
      </c>
      <c r="E6" s="8" t="n">
        <f aca="false">D6/A6</f>
        <v>0.988005808463083</v>
      </c>
    </row>
    <row r="7" customFormat="false" ht="15" hidden="false" customHeight="false" outlineLevel="0" collapsed="false">
      <c r="A7" s="5" t="n">
        <v>3</v>
      </c>
      <c r="B7" s="6" t="n">
        <v>1073741824</v>
      </c>
      <c r="C7" s="7" t="n">
        <v>0.141673</v>
      </c>
      <c r="D7" s="8" t="n">
        <f aca="false">$C$5/C7</f>
        <v>2.93915566127632</v>
      </c>
      <c r="E7" s="8" t="n">
        <f aca="false">D7/A7</f>
        <v>0.979718553758773</v>
      </c>
    </row>
    <row r="8" customFormat="false" ht="15" hidden="false" customHeight="false" outlineLevel="0" collapsed="false">
      <c r="A8" s="5" t="n">
        <v>4</v>
      </c>
      <c r="B8" s="6" t="n">
        <v>1073741824</v>
      </c>
      <c r="C8" s="7" t="n">
        <v>0.108581</v>
      </c>
      <c r="D8" s="8" t="n">
        <f aca="false">$C$5/C8</f>
        <v>3.83491586925889</v>
      </c>
      <c r="E8" s="8" t="n">
        <f aca="false">D8/A8</f>
        <v>0.958728967314724</v>
      </c>
    </row>
    <row r="9" customFormat="false" ht="15" hidden="false" customHeight="false" outlineLevel="0" collapsed="false">
      <c r="A9" s="5" t="n">
        <v>5</v>
      </c>
      <c r="B9" s="6" t="n">
        <v>1073741824</v>
      </c>
      <c r="C9" s="7" t="n">
        <v>0.103683</v>
      </c>
      <c r="D9" s="8" t="n">
        <f aca="false">$C$5/C9</f>
        <v>4.01607785268559</v>
      </c>
      <c r="E9" s="8" t="n">
        <f aca="false">D9/A9</f>
        <v>0.803215570537118</v>
      </c>
    </row>
    <row r="10" customFormat="false" ht="15" hidden="false" customHeight="false" outlineLevel="0" collapsed="false">
      <c r="A10" s="5" t="n">
        <v>6</v>
      </c>
      <c r="B10" s="6" t="n">
        <v>1073741824</v>
      </c>
      <c r="C10" s="7" t="n">
        <v>0.096109</v>
      </c>
      <c r="D10" s="8" t="n">
        <f aca="false">$C$5/C10</f>
        <v>4.33257031079295</v>
      </c>
      <c r="E10" s="8" t="n">
        <f aca="false">D10/A10</f>
        <v>0.722095051798826</v>
      </c>
    </row>
    <row r="13" customFormat="false" ht="15" hidden="false" customHeight="false" outlineLevel="0" collapsed="false">
      <c r="A13" s="3" t="s">
        <v>7</v>
      </c>
    </row>
    <row r="14" customFormat="false" ht="15" hidden="false" customHeight="false" outlineLevel="0" collapsed="false">
      <c r="A14" s="4" t="s">
        <v>2</v>
      </c>
      <c r="B14" s="4" t="s">
        <v>3</v>
      </c>
      <c r="C14" s="4" t="s">
        <v>4</v>
      </c>
      <c r="D14" s="4" t="s">
        <v>8</v>
      </c>
      <c r="E14" s="4" t="s">
        <v>6</v>
      </c>
    </row>
    <row r="15" customFormat="false" ht="15" hidden="false" customHeight="false" outlineLevel="0" collapsed="false">
      <c r="A15" s="5" t="n">
        <v>1</v>
      </c>
      <c r="B15" s="6" t="n">
        <v>134217728</v>
      </c>
      <c r="C15" s="7" t="n">
        <v>0.053144</v>
      </c>
      <c r="D15" s="8" t="n">
        <f aca="false">A15*$C$15/C15</f>
        <v>1</v>
      </c>
      <c r="E15" s="8" t="n">
        <f aca="false">D15/A15</f>
        <v>1</v>
      </c>
    </row>
    <row r="16" customFormat="false" ht="15" hidden="false" customHeight="false" outlineLevel="0" collapsed="false">
      <c r="A16" s="5" t="n">
        <v>2</v>
      </c>
      <c r="B16" s="6" t="n">
        <v>268435456</v>
      </c>
      <c r="C16" s="7" t="n">
        <v>0.052023</v>
      </c>
      <c r="D16" s="8" t="n">
        <f aca="false">A16*$C$15/C16</f>
        <v>2.04309632278031</v>
      </c>
      <c r="E16" s="8" t="n">
        <f aca="false">D16/A16</f>
        <v>1.02154816139015</v>
      </c>
    </row>
    <row r="17" customFormat="false" ht="15" hidden="false" customHeight="false" outlineLevel="0" collapsed="false">
      <c r="A17" s="5" t="n">
        <v>3</v>
      </c>
      <c r="B17" s="6" t="n">
        <v>402653184</v>
      </c>
      <c r="C17" s="7" t="n">
        <v>0.053772</v>
      </c>
      <c r="D17" s="8" t="n">
        <f aca="false">A17*$C$15/C17</f>
        <v>2.96496317786208</v>
      </c>
      <c r="E17" s="8" t="n">
        <f aca="false">D17/A17</f>
        <v>0.988321059287361</v>
      </c>
    </row>
    <row r="18" customFormat="false" ht="15" hidden="false" customHeight="false" outlineLevel="0" collapsed="false">
      <c r="A18" s="5" t="n">
        <v>4</v>
      </c>
      <c r="B18" s="6" t="n">
        <v>536870912</v>
      </c>
      <c r="C18" s="7" t="n">
        <v>0.061247</v>
      </c>
      <c r="D18" s="8" t="n">
        <f aca="false">A18*$C$15/C18</f>
        <v>3.47079856972586</v>
      </c>
      <c r="E18" s="8" t="n">
        <f aca="false">D18/A18</f>
        <v>0.867699642431466</v>
      </c>
    </row>
    <row r="19" customFormat="false" ht="15" hidden="false" customHeight="false" outlineLevel="0" collapsed="false">
      <c r="A19" s="5" t="n">
        <v>5</v>
      </c>
      <c r="B19" s="6" t="n">
        <v>671088640</v>
      </c>
      <c r="C19" s="7" t="n">
        <v>0.058759</v>
      </c>
      <c r="D19" s="8" t="n">
        <f aca="false">A19*$C$15/C19</f>
        <v>4.52220085433721</v>
      </c>
      <c r="E19" s="8" t="n">
        <f aca="false">D19/A19</f>
        <v>0.904440170867441</v>
      </c>
    </row>
    <row r="20" customFormat="false" ht="15" hidden="false" customHeight="false" outlineLevel="0" collapsed="false">
      <c r="A20" s="5" t="n">
        <v>6</v>
      </c>
      <c r="B20" s="6" t="n">
        <v>805306368</v>
      </c>
      <c r="C20" s="7" t="n">
        <v>0.074193</v>
      </c>
      <c r="D20" s="8" t="n">
        <f aca="false">A20*$C$15/C20</f>
        <v>4.29776393999434</v>
      </c>
      <c r="E20" s="8" t="n">
        <f aca="false">D20/A20</f>
        <v>0.716293989999057</v>
      </c>
    </row>
    <row r="23" customFormat="false" ht="15" hidden="false" customHeight="false" outlineLevel="0" collapsed="false">
      <c r="A23" s="9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18"/>
    <col collapsed="false" customWidth="true" hidden="false" outlineLevel="0" max="4" min="4" style="1" width="26"/>
    <col collapsed="false" customWidth="true" hidden="false" outlineLevel="0" max="5" min="5" style="1" width="16"/>
  </cols>
  <sheetData>
    <row r="1" customFormat="false" ht="15" hidden="false" customHeight="false" outlineLevel="0" collapsed="false">
      <c r="A1" s="2" t="s">
        <v>10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n">
        <v>1</v>
      </c>
      <c r="B5" s="6" t="n">
        <v>1073741824</v>
      </c>
      <c r="C5" s="7" t="n">
        <v>0.415798</v>
      </c>
      <c r="D5" s="8" t="n">
        <f aca="false">$C$5/C5</f>
        <v>1</v>
      </c>
      <c r="E5" s="8" t="n">
        <f aca="false">D5/A5</f>
        <v>1</v>
      </c>
    </row>
    <row r="6" customFormat="false" ht="15" hidden="false" customHeight="false" outlineLevel="0" collapsed="false">
      <c r="A6" s="5" t="n">
        <v>2</v>
      </c>
      <c r="B6" s="6" t="n">
        <v>1073741824</v>
      </c>
      <c r="C6" s="7" t="n">
        <v>0.212635</v>
      </c>
      <c r="D6" s="8" t="n">
        <f aca="false">$C$5/C6</f>
        <v>1.95545418204905</v>
      </c>
      <c r="E6" s="8" t="n">
        <f aca="false">D6/A6</f>
        <v>0.977727091024526</v>
      </c>
    </row>
    <row r="7" customFormat="false" ht="15" hidden="false" customHeight="false" outlineLevel="0" collapsed="false">
      <c r="A7" s="5" t="n">
        <v>3</v>
      </c>
      <c r="B7" s="6" t="n">
        <v>1073741824</v>
      </c>
      <c r="C7" s="7" t="n">
        <v>0.142005</v>
      </c>
      <c r="D7" s="8" t="n">
        <f aca="false">$C$5/C7</f>
        <v>2.92805182916095</v>
      </c>
      <c r="E7" s="8" t="n">
        <f aca="false">D7/A7</f>
        <v>0.976017276386982</v>
      </c>
    </row>
    <row r="8" customFormat="false" ht="15" hidden="false" customHeight="false" outlineLevel="0" collapsed="false">
      <c r="A8" s="5" t="n">
        <v>4</v>
      </c>
      <c r="B8" s="6" t="n">
        <v>1073741824</v>
      </c>
      <c r="C8" s="7" t="n">
        <v>0.107899</v>
      </c>
      <c r="D8" s="8" t="n">
        <f aca="false">$C$5/C8</f>
        <v>3.85358529736142</v>
      </c>
      <c r="E8" s="8" t="n">
        <f aca="false">D8/A8</f>
        <v>0.963396324340355</v>
      </c>
    </row>
    <row r="9" customFormat="false" ht="15" hidden="false" customHeight="false" outlineLevel="0" collapsed="false">
      <c r="A9" s="5" t="n">
        <v>5</v>
      </c>
      <c r="B9" s="6" t="n">
        <v>1073741824</v>
      </c>
      <c r="C9" s="7" t="n">
        <v>0.090194</v>
      </c>
      <c r="D9" s="8" t="n">
        <f aca="false">$C$5/C9</f>
        <v>4.61004057919596</v>
      </c>
      <c r="E9" s="8" t="n">
        <f aca="false">D9/A9</f>
        <v>0.922008115839191</v>
      </c>
    </row>
    <row r="10" customFormat="false" ht="15" hidden="false" customHeight="false" outlineLevel="0" collapsed="false">
      <c r="A10" s="5" t="n">
        <v>6</v>
      </c>
      <c r="B10" s="6" t="n">
        <v>1073741824</v>
      </c>
      <c r="C10" s="7" t="n">
        <v>0.093521</v>
      </c>
      <c r="D10" s="8" t="n">
        <f aca="false">$C$5/C10</f>
        <v>4.44603885758279</v>
      </c>
      <c r="E10" s="8" t="n">
        <f aca="false">D10/A10</f>
        <v>0.741006476263798</v>
      </c>
    </row>
    <row r="13" customFormat="false" ht="15" hidden="false" customHeight="false" outlineLevel="0" collapsed="false">
      <c r="A13" s="3" t="s">
        <v>7</v>
      </c>
    </row>
    <row r="14" customFormat="false" ht="15" hidden="false" customHeight="false" outlineLevel="0" collapsed="false">
      <c r="A14" s="4" t="s">
        <v>2</v>
      </c>
      <c r="B14" s="4" t="s">
        <v>3</v>
      </c>
      <c r="C14" s="4" t="s">
        <v>4</v>
      </c>
      <c r="D14" s="4" t="s">
        <v>8</v>
      </c>
      <c r="E14" s="4" t="s">
        <v>6</v>
      </c>
    </row>
    <row r="15" customFormat="false" ht="15" hidden="false" customHeight="false" outlineLevel="0" collapsed="false">
      <c r="A15" s="5" t="n">
        <v>1</v>
      </c>
      <c r="B15" s="6" t="n">
        <v>134217728</v>
      </c>
      <c r="C15" s="7" t="n">
        <v>0.052032</v>
      </c>
      <c r="D15" s="8" t="n">
        <f aca="false">A15*$C$15/C15</f>
        <v>1</v>
      </c>
      <c r="E15" s="8" t="n">
        <f aca="false">D15/A15</f>
        <v>1</v>
      </c>
    </row>
    <row r="16" customFormat="false" ht="15" hidden="false" customHeight="false" outlineLevel="0" collapsed="false">
      <c r="A16" s="5" t="n">
        <v>2</v>
      </c>
      <c r="B16" s="6" t="n">
        <v>268435456</v>
      </c>
      <c r="C16" s="7" t="n">
        <v>0.052964</v>
      </c>
      <c r="D16" s="8" t="n">
        <f aca="false">A16*$C$15/C16</f>
        <v>1.96480628351333</v>
      </c>
      <c r="E16" s="8" t="n">
        <f aca="false">D16/A16</f>
        <v>0.982403141756665</v>
      </c>
    </row>
    <row r="17" customFormat="false" ht="15" hidden="false" customHeight="false" outlineLevel="0" collapsed="false">
      <c r="A17" s="5" t="n">
        <v>3</v>
      </c>
      <c r="B17" s="6" t="n">
        <v>402653184</v>
      </c>
      <c r="C17" s="7" t="n">
        <v>0.05318</v>
      </c>
      <c r="D17" s="8" t="n">
        <f aca="false">A17*$C$15/C17</f>
        <v>2.9352388115833</v>
      </c>
      <c r="E17" s="8" t="n">
        <f aca="false">D17/A17</f>
        <v>0.978412937194434</v>
      </c>
    </row>
    <row r="18" customFormat="false" ht="15" hidden="false" customHeight="false" outlineLevel="0" collapsed="false">
      <c r="A18" s="5" t="n">
        <v>4</v>
      </c>
      <c r="B18" s="6" t="n">
        <v>536870912</v>
      </c>
      <c r="C18" s="7" t="n">
        <v>0.053611</v>
      </c>
      <c r="D18" s="8" t="n">
        <f aca="false">A18*$C$15/C18</f>
        <v>3.88218835686706</v>
      </c>
      <c r="E18" s="8" t="n">
        <f aca="false">D18/A18</f>
        <v>0.970547089216765</v>
      </c>
    </row>
    <row r="19" customFormat="false" ht="15" hidden="false" customHeight="false" outlineLevel="0" collapsed="false">
      <c r="A19" s="5" t="n">
        <v>5</v>
      </c>
      <c r="B19" s="6" t="n">
        <v>671088640</v>
      </c>
      <c r="C19" s="7" t="n">
        <v>0.057483</v>
      </c>
      <c r="D19" s="8" t="n">
        <f aca="false">A19*$C$15/C19</f>
        <v>4.52585981942487</v>
      </c>
      <c r="E19" s="8" t="n">
        <f aca="false">D19/A19</f>
        <v>0.905171963884975</v>
      </c>
    </row>
    <row r="20" customFormat="false" ht="15" hidden="false" customHeight="false" outlineLevel="0" collapsed="false">
      <c r="A20" s="5" t="n">
        <v>6</v>
      </c>
      <c r="B20" s="6" t="n">
        <v>805306368</v>
      </c>
      <c r="C20" s="7" t="n">
        <v>0.070774</v>
      </c>
      <c r="D20" s="8" t="n">
        <f aca="false">A20*$C$15/C20</f>
        <v>4.41111142509961</v>
      </c>
      <c r="E20" s="8" t="n">
        <f aca="false">D20/A20</f>
        <v>0.735185237516602</v>
      </c>
    </row>
    <row r="23" customFormat="false" ht="15" hidden="false" customHeight="false" outlineLevel="0" collapsed="false">
      <c r="A23" s="9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2026-10-18T22:32:23Z</dcterms:created>
  <dc:creator>openpyxl</dc:creator>
  <dc:description/>
  <dc:language>en-US</dc:language>
  <cp:lastModifiedBy/>
  <dcterms:modified xsi:type="dcterms:W3CDTF">2026-10-18T19:51:16Z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